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14775" windowHeight="11325" tabRatio="600" firstSheet="89" autoFilterDateGrouping="1"/>
  </bookViews>
  <sheets>
    <sheet name="일보" sheetId="1" state="visible" r:id="rId1"/>
  </sheets>
  <externalReferences>
    <externalReference r:id="rId2"/>
  </externalReferences>
  <definedNames>
    <definedName name="_Sort" hidden="1">[1]업무분장!$A$1:$IV$4072</definedName>
    <definedName name="_xlnm.Print_Area" localSheetId="0">'일보'!$A$1:$O$24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7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b val="1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b val="1"/>
      <sz val="2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1" fillId="0" borderId="0" applyAlignment="1">
      <alignment vertical="center"/>
    </xf>
  </cellStyleXfs>
  <cellXfs count="455">
    <xf numFmtId="0" fontId="0" fillId="0" borderId="0" applyAlignment="1" pivotButton="0" quotePrefix="0" xfId="0">
      <alignment vertical="center"/>
    </xf>
    <xf numFmtId="164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164" fontId="3" fillId="0" borderId="5" applyAlignment="1" pivotButton="0" quotePrefix="0" xfId="0">
      <alignment horizontal="center" vertical="center"/>
    </xf>
    <xf numFmtId="164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2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164" fontId="4" fillId="2" borderId="30" applyAlignment="1" pivotButton="0" quotePrefix="0" xfId="0">
      <alignment horizontal="center" vertical="center"/>
    </xf>
    <xf numFmtId="0" fontId="3" fillId="2" borderId="32" applyAlignment="1" pivotButton="0" quotePrefix="0" xfId="0">
      <alignment horizontal="center" vertical="center"/>
    </xf>
    <xf numFmtId="0" fontId="3" fillId="2" borderId="33" applyAlignment="1" pivotButton="0" quotePrefix="0" xfId="0">
      <alignment horizontal="center" vertical="center"/>
    </xf>
    <xf numFmtId="164" fontId="3" fillId="2" borderId="33" applyAlignment="1" pivotButton="0" quotePrefix="0" xfId="0">
      <alignment horizontal="center" vertical="center"/>
    </xf>
    <xf numFmtId="164" fontId="3" fillId="2" borderId="34" applyAlignment="1" pivotButton="0" quotePrefix="0" xfId="0">
      <alignment horizontal="center" vertical="center"/>
    </xf>
    <xf numFmtId="0" fontId="3" fillId="2" borderId="35" applyAlignment="1" pivotButton="0" quotePrefix="0" xfId="0">
      <alignment horizontal="center" vertical="center"/>
    </xf>
    <xf numFmtId="0" fontId="3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2" borderId="3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2" borderId="30" applyAlignment="1" pivotButton="0" quotePrefix="0" xfId="0">
      <alignment horizontal="center" vertical="center"/>
    </xf>
    <xf numFmtId="0" fontId="3" fillId="2" borderId="3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5" applyAlignment="1" pivotButton="0" quotePrefix="1" xfId="0">
      <alignment horizontal="center" vertical="center"/>
    </xf>
    <xf numFmtId="0" fontId="0" fillId="0" borderId="0" pivotButton="0" quotePrefix="0" xfId="0"/>
    <xf numFmtId="0" fontId="3" fillId="0" borderId="1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0" pivotButton="0" quotePrefix="0" xfId="0"/>
    <xf numFmtId="0" fontId="3" fillId="0" borderId="1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6" fillId="0" borderId="1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3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46" pivotButton="0" quotePrefix="0" xfId="0"/>
    <xf numFmtId="0" fontId="0" fillId="0" borderId="44" pivotButton="0" quotePrefix="0" xfId="0"/>
    <xf numFmtId="0" fontId="0" fillId="0" borderId="35" pivotButton="0" quotePrefix="0" xfId="0"/>
    <xf numFmtId="164" fontId="3" fillId="2" borderId="33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9" pivotButton="0" quotePrefix="0" xfId="0"/>
    <xf numFmtId="0" fontId="0" fillId="0" borderId="36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34" pivotButton="0" quotePrefix="0" xfId="0"/>
    <xf numFmtId="164" fontId="4" fillId="2" borderId="2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TDUJ10/&#47928;&#49436;&#44277;&#50976;/BAE/JOJIC/&#50629;&#47924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업무분장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Q39"/>
  <sheetViews>
    <sheetView workbookViewId="0">
      <selection activeCell="J14" sqref="J14:O14"/>
    </sheetView>
  </sheetViews>
  <sheetFormatPr baseColWidth="8" defaultColWidth="8.77734375" defaultRowHeight="13.5"/>
  <cols>
    <col width="4.6640625" customWidth="1" style="422" min="1" max="6"/>
    <col width="11.6640625" customWidth="1" style="422" min="7" max="7"/>
    <col width="11.77734375" customWidth="1" style="422" min="8" max="9"/>
    <col width="8.6640625" customWidth="1" style="422" min="10" max="12"/>
    <col width="13.109375" customWidth="1" style="422" min="13" max="13"/>
    <col width="8.6640625" customWidth="1" style="422" min="14" max="15"/>
  </cols>
  <sheetData>
    <row r="1" ht="24.95" customHeight="1" s="422">
      <c r="A1" s="423" t="inlineStr">
        <is>
          <t>H D S</t>
        </is>
      </c>
      <c r="B1" s="424" t="n"/>
      <c r="C1" s="424" t="n"/>
      <c r="D1" s="424" t="n"/>
      <c r="E1" s="425" t="n"/>
      <c r="F1" s="389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2" ht="24.95" customHeight="1" s="422">
      <c r="A2" s="426" t="inlineStr">
        <is>
          <t>결
재</t>
        </is>
      </c>
      <c r="B2" s="423" t="inlineStr">
        <is>
          <t>담 당</t>
        </is>
      </c>
      <c r="C2" s="425" t="n"/>
      <c r="D2" s="423" t="inlineStr">
        <is>
          <t>팀 장</t>
        </is>
      </c>
      <c r="E2" s="425" t="n"/>
      <c r="F2" s="427" t="n"/>
    </row>
    <row r="3" ht="24.95" customHeight="1" s="422">
      <c r="A3" s="428" t="n"/>
      <c r="B3" s="426" t="n"/>
      <c r="C3" s="429" t="n"/>
      <c r="D3" s="430" t="n"/>
      <c r="E3" s="429" t="n"/>
      <c r="F3" s="427" t="n"/>
    </row>
    <row r="4" ht="24.95" customHeight="1" s="422">
      <c r="A4" s="431" t="n"/>
      <c r="B4" s="432" t="n"/>
      <c r="C4" s="433" t="n"/>
      <c r="D4" s="432" t="n"/>
      <c r="E4" s="433" t="n"/>
      <c r="F4" s="432" t="n"/>
      <c r="G4" s="434" t="n"/>
      <c r="H4" s="434" t="n"/>
      <c r="I4" s="434" t="n"/>
      <c r="J4" s="434" t="n"/>
      <c r="K4" s="434" t="n"/>
      <c r="L4" s="434" t="n"/>
      <c r="M4" s="434" t="n"/>
      <c r="N4" s="434" t="n"/>
      <c r="O4" s="434" t="n"/>
    </row>
    <row r="5" ht="30.95" customHeight="1" s="422">
      <c r="A5" s="11" t="inlineStr">
        <is>
          <t>사   업   자   명</t>
        </is>
      </c>
      <c r="B5" s="424" t="n"/>
      <c r="C5" s="424" t="n"/>
      <c r="D5" s="424" t="n"/>
      <c r="E5" s="424" t="n"/>
      <c r="F5" s="425" t="n"/>
      <c r="G5" s="435" t="inlineStr">
        <is>
          <t>에이치디에스 주식회사</t>
        </is>
      </c>
      <c r="H5" s="424" t="n"/>
      <c r="I5" s="424" t="n"/>
      <c r="J5" s="425" t="n"/>
      <c r="K5" s="11" t="inlineStr">
        <is>
          <t>부       서</t>
        </is>
      </c>
      <c r="L5" s="425" t="n"/>
      <c r="M5" s="435" t="inlineStr">
        <is>
          <t>보안사업MU FM사업팀(판교)</t>
        </is>
      </c>
      <c r="N5" s="424" t="n"/>
      <c r="O5" s="425" t="n"/>
    </row>
    <row r="6" ht="30.95" customHeight="1" s="422">
      <c r="A6" s="11" t="inlineStr">
        <is>
          <t>일               자</t>
        </is>
      </c>
      <c r="B6" s="424" t="n"/>
      <c r="C6" s="424" t="n"/>
      <c r="D6" s="424" t="n"/>
      <c r="E6" s="424" t="n"/>
      <c r="F6" s="425" t="n"/>
      <c r="G6" s="436" t="inlineStr">
        <is>
          <t>2026년 10월 02일(금)</t>
        </is>
      </c>
      <c r="H6" s="424" t="n"/>
      <c r="I6" s="424" t="n"/>
      <c r="J6" s="425" t="n"/>
      <c r="K6" s="11" t="inlineStr">
        <is>
          <t> </t>
        </is>
      </c>
      <c r="L6" s="425" t="n"/>
      <c r="M6" s="436" t="inlineStr">
        <is>
          <t>김  현 (인)</t>
        </is>
      </c>
      <c r="N6" s="424" t="n"/>
      <c r="O6" s="425" t="n"/>
    </row>
    <row r="7" ht="5.1" customHeight="1" s="422">
      <c r="A7" s="359" t="n"/>
      <c r="B7" s="359" t="n"/>
      <c r="C7" s="359" t="n"/>
      <c r="D7" s="359" t="n"/>
      <c r="E7" s="359" t="n"/>
      <c r="F7" s="359" t="n"/>
      <c r="G7" s="359" t="n"/>
      <c r="H7" s="359" t="n"/>
      <c r="I7" s="359" t="n"/>
      <c r="J7" s="359" t="n"/>
      <c r="K7" s="359" t="n"/>
      <c r="L7" s="359" t="n"/>
      <c r="M7" s="359" t="n"/>
      <c r="N7" s="359" t="n"/>
      <c r="O7" s="359" t="n"/>
    </row>
    <row r="8" ht="36" customHeight="1" s="422">
      <c r="A8" s="359" t="n"/>
      <c r="G8" s="359" t="n"/>
      <c r="H8" s="359" t="n"/>
      <c r="I8" s="359" t="inlineStr">
        <is>
          <t> </t>
        </is>
      </c>
      <c r="J8" s="359" t="n"/>
      <c r="K8" s="359" t="n"/>
      <c r="L8" s="359" t="n"/>
      <c r="M8" s="359" t="n"/>
      <c r="N8" s="359" t="n"/>
      <c r="O8" s="359" t="n"/>
    </row>
    <row r="9" ht="5.1" customHeight="1" s="422">
      <c r="A9" s="359" t="n"/>
      <c r="B9" s="359" t="n"/>
      <c r="C9" s="359" t="n"/>
      <c r="D9" s="359" t="n"/>
      <c r="E9" s="359" t="n"/>
      <c r="F9" s="359" t="n"/>
      <c r="G9" s="359" t="n"/>
      <c r="H9" s="359" t="n"/>
      <c r="I9" s="359" t="n"/>
      <c r="J9" s="359" t="n"/>
      <c r="K9" s="359" t="n"/>
      <c r="L9" s="359" t="n"/>
      <c r="M9" s="359" t="n"/>
      <c r="N9" s="359" t="n"/>
      <c r="O9" s="359" t="n"/>
    </row>
    <row r="10" ht="30.95" customHeight="1" s="422">
      <c r="A10" s="11" t="inlineStr">
        <is>
          <t>구              분</t>
        </is>
      </c>
      <c r="B10" s="424" t="n"/>
      <c r="C10" s="424" t="n"/>
      <c r="D10" s="424" t="n"/>
      <c r="E10" s="424" t="n"/>
      <c r="F10" s="425" t="n"/>
      <c r="G10" s="11" t="inlineStr">
        <is>
          <t>T/O</t>
        </is>
      </c>
      <c r="H10" s="11" t="inlineStr">
        <is>
          <t>사고</t>
        </is>
      </c>
      <c r="I10" s="11" t="inlineStr">
        <is>
          <t>현인원</t>
        </is>
      </c>
      <c r="J10" s="11" t="inlineStr">
        <is>
          <t xml:space="preserve"> 사고내용(비고)</t>
        </is>
      </c>
      <c r="K10" s="424" t="n"/>
      <c r="L10" s="424" t="n"/>
      <c r="M10" s="424" t="n"/>
      <c r="N10" s="424" t="n"/>
      <c r="O10" s="425" t="n"/>
    </row>
    <row r="11" hidden="1" ht="30.95" customHeight="1" s="422">
      <c r="A11" s="380" t="inlineStr">
        <is>
          <t>보안</t>
        </is>
      </c>
      <c r="B11" s="437" t="n"/>
      <c r="C11" s="381" t="inlineStr">
        <is>
          <t>주간조</t>
        </is>
      </c>
      <c r="D11" s="437" t="n"/>
      <c r="E11" s="381" t="inlineStr">
        <is>
          <t>관리/시스템</t>
        </is>
      </c>
      <c r="F11" s="438" t="n"/>
      <c r="G11" s="42" t="n">
        <v>0</v>
      </c>
      <c r="H11" s="10" t="n">
        <v>0</v>
      </c>
      <c r="I11" s="10">
        <f>G11-H11</f>
        <v/>
      </c>
      <c r="J11" s="382" t="n"/>
      <c r="K11" s="439" t="n"/>
      <c r="L11" s="439" t="n"/>
      <c r="M11" s="439" t="n"/>
      <c r="N11" s="439" t="n"/>
      <c r="O11" s="438" t="n"/>
    </row>
    <row r="12" ht="30.95" customHeight="1" s="422">
      <c r="A12" s="427" t="n"/>
      <c r="B12" s="440" t="n"/>
      <c r="C12" s="441" t="n"/>
      <c r="D12" s="440" t="n"/>
      <c r="E12" s="362" t="inlineStr">
        <is>
          <t>주간고정</t>
        </is>
      </c>
      <c r="F12" s="442" t="n"/>
      <c r="G12" s="43" t="n">
        <v>11</v>
      </c>
      <c r="H12" s="362" t="n">
        <v>1</v>
      </c>
      <c r="I12" s="363">
        <f>IMSUB(G12,H12)</f>
        <v/>
      </c>
      <c r="J12" s="363" t="n"/>
      <c r="K12" s="443" t="n"/>
      <c r="L12" s="443" t="n"/>
      <c r="M12" s="443" t="n"/>
      <c r="N12" s="443" t="n"/>
      <c r="O12" s="442" t="n"/>
    </row>
    <row r="13" ht="30.95" customHeight="1" s="422">
      <c r="A13" s="427" t="n"/>
      <c r="B13" s="440" t="n"/>
      <c r="C13" s="441" t="n"/>
      <c r="D13" s="440" t="n"/>
      <c r="E13" s="362" t="inlineStr">
        <is>
          <t>주간조</t>
        </is>
      </c>
      <c r="F13" s="442" t="n"/>
      <c r="G13" s="43" t="n">
        <v>10</v>
      </c>
      <c r="H13" s="362" t="n">
        <v>0</v>
      </c>
      <c r="I13" s="363">
        <f>IMSUB(G13,H13)</f>
        <v/>
      </c>
      <c r="J13" s="363" t="n"/>
      <c r="K13" s="443" t="n"/>
      <c r="L13" s="443" t="n"/>
      <c r="M13" s="443" t="n"/>
      <c r="N13" s="443" t="n"/>
      <c r="O13" s="442" t="n"/>
    </row>
    <row r="14" ht="30.95" customHeight="1" s="422">
      <c r="A14" s="427" t="n"/>
      <c r="B14" s="440" t="n"/>
      <c r="C14" s="444" t="n"/>
      <c r="D14" s="445" t="n"/>
      <c r="E14" s="362" t="inlineStr">
        <is>
          <t>계</t>
        </is>
      </c>
      <c r="F14" s="442" t="n"/>
      <c r="G14" s="446">
        <f>SUM(G12:G13)</f>
        <v/>
      </c>
      <c r="H14" s="447">
        <f>SUM(H12:H13)</f>
        <v/>
      </c>
      <c r="I14" s="363">
        <f>IMSUB(G14,H14)</f>
        <v/>
      </c>
      <c r="J14" s="363" t="n"/>
      <c r="K14" s="443" t="n"/>
      <c r="L14" s="443" t="n"/>
      <c r="M14" s="443" t="n"/>
      <c r="N14" s="443" t="n"/>
      <c r="O14" s="442" t="n"/>
    </row>
    <row r="15" ht="30.95" customHeight="1" s="422">
      <c r="A15" s="427" t="n"/>
      <c r="B15" s="440" t="n"/>
      <c r="C15" s="362" t="inlineStr">
        <is>
          <t>야간조</t>
        </is>
      </c>
      <c r="D15" s="443" t="n"/>
      <c r="E15" s="443" t="n"/>
      <c r="F15" s="442" t="n"/>
      <c r="G15" s="43" t="n">
        <v>10</v>
      </c>
      <c r="H15" s="362" t="n">
        <v>0</v>
      </c>
      <c r="I15" s="363">
        <f>IMSUB(G15,H15)</f>
        <v/>
      </c>
      <c r="J15" s="363" t="n"/>
      <c r="K15" s="443" t="n"/>
      <c r="L15" s="443" t="n"/>
      <c r="M15" s="443" t="n"/>
      <c r="N15" s="443" t="n"/>
      <c r="O15" s="442" t="n"/>
      <c r="Q15" s="340" t="n"/>
    </row>
    <row r="16" ht="30.95" customHeight="1" s="422">
      <c r="A16" s="427" t="n"/>
      <c r="B16" s="440" t="n"/>
      <c r="C16" s="362" t="inlineStr">
        <is>
          <t>휴무조</t>
        </is>
      </c>
      <c r="D16" s="443" t="n"/>
      <c r="E16" s="443" t="n"/>
      <c r="F16" s="442" t="n"/>
      <c r="G16" s="43" t="n">
        <v>10</v>
      </c>
      <c r="H16" s="362" t="n">
        <v>10</v>
      </c>
      <c r="I16" s="363">
        <f>IMSUB(G16,H16)</f>
        <v/>
      </c>
      <c r="J16" s="363" t="n"/>
      <c r="K16" s="443" t="n"/>
      <c r="L16" s="443" t="n"/>
      <c r="M16" s="443" t="n"/>
      <c r="N16" s="443" t="n"/>
      <c r="O16" s="442" t="n"/>
    </row>
    <row r="17" ht="30.95" customHeight="1" s="422">
      <c r="A17" s="448" t="n"/>
      <c r="B17" s="445" t="n"/>
      <c r="C17" s="362" t="inlineStr">
        <is>
          <t>소계</t>
        </is>
      </c>
      <c r="D17" s="443" t="n"/>
      <c r="E17" s="443" t="n"/>
      <c r="F17" s="442" t="n"/>
      <c r="G17" s="446">
        <f>SUM(G14,G15,G16)</f>
        <v/>
      </c>
      <c r="H17" s="447">
        <f>SUM(H14,H15,H16)</f>
        <v/>
      </c>
      <c r="I17" s="363">
        <f>IMSUB(G17,H17)</f>
        <v/>
      </c>
      <c r="J17" s="363" t="n"/>
      <c r="K17" s="443" t="n"/>
      <c r="L17" s="443" t="n"/>
      <c r="M17" s="443" t="n"/>
      <c r="N17" s="443" t="n"/>
      <c r="O17" s="442" t="n"/>
    </row>
    <row r="18" hidden="1" ht="30.95" customHeight="1" s="422">
      <c r="A18" s="32" t="inlineStr">
        <is>
          <t>주차</t>
        </is>
      </c>
      <c r="B18" s="33" t="n"/>
      <c r="C18" s="406" t="inlineStr">
        <is>
          <t>주간조</t>
        </is>
      </c>
      <c r="D18" s="449" t="n"/>
      <c r="E18" s="449" t="n"/>
      <c r="F18" s="445" t="n"/>
      <c r="G18" s="46" t="n">
        <v>7</v>
      </c>
      <c r="H18" s="406" t="n"/>
      <c r="I18" s="408">
        <f>IMSUB(G18,H18)</f>
        <v/>
      </c>
      <c r="J18" s="408" t="n"/>
      <c r="K18" s="449" t="n"/>
      <c r="L18" s="449" t="n"/>
      <c r="M18" s="449" t="n"/>
      <c r="N18" s="449" t="n"/>
      <c r="O18" s="445" t="n"/>
    </row>
    <row r="19" hidden="1" ht="30.95" customHeight="1" s="422">
      <c r="A19" s="6" t="n"/>
      <c r="B19" s="5" t="n"/>
      <c r="C19" s="362" t="inlineStr">
        <is>
          <t>정산</t>
        </is>
      </c>
      <c r="D19" s="443" t="n"/>
      <c r="E19" s="443" t="n"/>
      <c r="F19" s="442" t="n"/>
      <c r="G19" s="43" t="n">
        <v>0</v>
      </c>
      <c r="H19" s="362" t="n"/>
      <c r="I19" s="363">
        <f>IMSUB(G19,H19)</f>
        <v/>
      </c>
      <c r="J19" s="363" t="n"/>
      <c r="K19" s="443" t="n"/>
      <c r="L19" s="443" t="n"/>
      <c r="M19" s="443" t="n"/>
      <c r="N19" s="443" t="n"/>
      <c r="O19" s="442" t="n"/>
    </row>
    <row r="20" ht="30.95" customHeight="1" s="422">
      <c r="A20" s="361" t="inlineStr">
        <is>
          <t>안내</t>
        </is>
      </c>
      <c r="B20" s="442" t="n"/>
      <c r="C20" s="362" t="inlineStr">
        <is>
          <t>주간조</t>
        </is>
      </c>
      <c r="D20" s="443" t="n"/>
      <c r="E20" s="443" t="n"/>
      <c r="F20" s="442" t="n"/>
      <c r="G20" s="43" t="n">
        <v>5</v>
      </c>
      <c r="H20" s="362" t="n">
        <v>0</v>
      </c>
      <c r="I20" s="363">
        <f>IMSUB(G20,H20)</f>
        <v/>
      </c>
      <c r="J20" s="421" t="n"/>
      <c r="K20" s="443" t="n"/>
      <c r="L20" s="443" t="n"/>
      <c r="M20" s="443" t="n"/>
      <c r="N20" s="443" t="n"/>
      <c r="O20" s="442" t="n"/>
    </row>
    <row r="21" ht="30.95" customHeight="1" s="422">
      <c r="A21" s="361" t="inlineStr">
        <is>
          <t>주차</t>
        </is>
      </c>
      <c r="B21" s="442" t="n"/>
      <c r="C21" s="362" t="inlineStr">
        <is>
          <t>주간조</t>
        </is>
      </c>
      <c r="D21" s="443" t="n"/>
      <c r="E21" s="443" t="n"/>
      <c r="F21" s="442" t="n"/>
      <c r="G21" s="43" t="n">
        <v>3</v>
      </c>
      <c r="H21" s="362" t="n">
        <v>0</v>
      </c>
      <c r="I21" s="363">
        <f>IMSUB(G21,H21)</f>
        <v/>
      </c>
      <c r="J21" s="363" t="n"/>
      <c r="K21" s="443" t="n"/>
      <c r="L21" s="443" t="n"/>
      <c r="M21" s="443" t="n"/>
      <c r="N21" s="443" t="n"/>
      <c r="O21" s="442" t="n"/>
    </row>
    <row r="22" hidden="1" ht="30.95" customHeight="1" s="422">
      <c r="A22" s="361" t="inlineStr">
        <is>
          <t>안내</t>
        </is>
      </c>
      <c r="B22" s="450" t="n"/>
      <c r="C22" s="362" t="inlineStr">
        <is>
          <t>주간조</t>
        </is>
      </c>
      <c r="D22" s="443" t="n"/>
      <c r="E22" s="443" t="n"/>
      <c r="F22" s="442" t="n"/>
      <c r="G22" s="43" t="n">
        <v>12</v>
      </c>
      <c r="H22" s="363" t="n"/>
      <c r="I22" s="363">
        <f>IMSUB(G22,H22)</f>
        <v/>
      </c>
      <c r="J22" s="363" t="n"/>
      <c r="K22" s="443" t="n"/>
      <c r="L22" s="443" t="n"/>
      <c r="M22" s="443" t="n"/>
      <c r="N22" s="443" t="n"/>
      <c r="O22" s="442" t="n"/>
    </row>
    <row r="23" hidden="1" ht="30.95" customHeight="1" s="422">
      <c r="A23" s="448" t="n"/>
      <c r="B23" s="445" t="n"/>
      <c r="C23" s="411" t="inlineStr">
        <is>
          <t>휴무조</t>
        </is>
      </c>
      <c r="D23" s="451" t="n"/>
      <c r="E23" s="451" t="n"/>
      <c r="F23" s="450" t="n"/>
      <c r="G23" s="47" t="n">
        <v>0</v>
      </c>
      <c r="H23" s="413" t="n"/>
      <c r="I23" s="413">
        <f>IMSUB(G23,H23)</f>
        <v/>
      </c>
      <c r="J23" s="413" t="n"/>
      <c r="K23" s="451" t="n"/>
      <c r="L23" s="451" t="n"/>
      <c r="M23" s="451" t="n"/>
      <c r="N23" s="451" t="n"/>
      <c r="O23" s="450" t="n"/>
    </row>
    <row r="24" ht="30.95" customHeight="1" s="422">
      <c r="A24" s="365" t="inlineStr">
        <is>
          <t>합             계</t>
        </is>
      </c>
      <c r="B24" s="452" t="n"/>
      <c r="C24" s="452" t="n"/>
      <c r="D24" s="452" t="n"/>
      <c r="E24" s="452" t="n"/>
      <c r="F24" s="453" t="n"/>
      <c r="G24" s="57">
        <f>SUM(G17,G20,G21)</f>
        <v/>
      </c>
      <c r="H24" s="454">
        <f>SUM(H17,H20,H21)</f>
        <v/>
      </c>
      <c r="I24" s="454">
        <f>IMSUB(G24,H24)</f>
        <v/>
      </c>
      <c r="J24" s="367" t="n"/>
      <c r="K24" s="452" t="n"/>
      <c r="L24" s="452" t="n"/>
      <c r="M24" s="452" t="n"/>
      <c r="N24" s="452" t="n"/>
      <c r="O24" s="453" t="n"/>
    </row>
    <row r="31">
      <c r="M31" s="359" t="n"/>
    </row>
    <row r="38">
      <c r="M38" s="360" t="n"/>
    </row>
    <row r="39"/>
  </sheetData>
  <mergeCells count="53">
    <mergeCell ref="J24:O24"/>
    <mergeCell ref="E12:F12"/>
    <mergeCell ref="F1:O4"/>
    <mergeCell ref="J15:O15"/>
    <mergeCell ref="C23:F23"/>
    <mergeCell ref="C17:F17"/>
    <mergeCell ref="A2:A4"/>
    <mergeCell ref="D3:E4"/>
    <mergeCell ref="M31:O31"/>
    <mergeCell ref="K5:L5"/>
    <mergeCell ref="A1:E1"/>
    <mergeCell ref="E14:F14"/>
    <mergeCell ref="M38:O39"/>
    <mergeCell ref="C19:F19"/>
    <mergeCell ref="J11:O11"/>
    <mergeCell ref="M6:O6"/>
    <mergeCell ref="J20:O20"/>
    <mergeCell ref="A22:B23"/>
    <mergeCell ref="J16:O16"/>
    <mergeCell ref="C18:F18"/>
    <mergeCell ref="B2:C2"/>
    <mergeCell ref="C11:D14"/>
    <mergeCell ref="D2:E2"/>
    <mergeCell ref="A5:F5"/>
    <mergeCell ref="A11:B17"/>
    <mergeCell ref="J22:O22"/>
    <mergeCell ref="A8:F8"/>
    <mergeCell ref="E13:F13"/>
    <mergeCell ref="C15:F15"/>
    <mergeCell ref="J12:O12"/>
    <mergeCell ref="J21:O21"/>
    <mergeCell ref="A21:B21"/>
    <mergeCell ref="A10:F10"/>
    <mergeCell ref="C20:F20"/>
    <mergeCell ref="J18:O18"/>
    <mergeCell ref="E11:F11"/>
    <mergeCell ref="C16:F16"/>
    <mergeCell ref="J23:O23"/>
    <mergeCell ref="J17:O17"/>
    <mergeCell ref="B3:C4"/>
    <mergeCell ref="C22:F22"/>
    <mergeCell ref="A24:F24"/>
    <mergeCell ref="A20:B20"/>
    <mergeCell ref="J14:O14"/>
    <mergeCell ref="G6:J6"/>
    <mergeCell ref="J19:O19"/>
    <mergeCell ref="J10:O10"/>
    <mergeCell ref="M5:O5"/>
    <mergeCell ref="J13:O13"/>
    <mergeCell ref="C21:F21"/>
    <mergeCell ref="A6:F6"/>
    <mergeCell ref="K6:L6"/>
    <mergeCell ref="G5:J5"/>
  </mergeCells>
  <printOptions horizontalCentered="1" verticalCentered="1"/>
  <pageMargins left="0.4330708661417323" right="0.4330708661417323" top="0.4330708661417323" bottom="0.2362204724409449" header="0.3543307086614174" footer="0.1574803149606299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관리자</dc:creator>
  <dcterms:created xsi:type="dcterms:W3CDTF">2026-07-01T14:03:46Z</dcterms:created>
  <dcterms:modified xsi:type="dcterms:W3CDTF">2026-10-06T13:16:35Z</dcterms:modified>
  <cp:lastModifiedBy>관리자</cp:lastModifiedBy>
  <cp:lastPrinted>2026-10-03T17:22:48Z</cp:lastPrinted>
</cp:coreProperties>
</file>